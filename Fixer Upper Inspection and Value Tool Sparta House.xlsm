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ef\OneDrive\Documents\"/>
    </mc:Choice>
  </mc:AlternateContent>
  <xr:revisionPtr revIDLastSave="0" documentId="13_ncr:1_{C5788299-E4AA-438B-B06D-7F330382C2FF}" xr6:coauthVersionLast="47" xr6:coauthVersionMax="47" xr10:uidLastSave="{00000000-0000-0000-0000-000000000000}"/>
  <bookViews>
    <workbookView xWindow="22932" yWindow="-108" windowWidth="23256" windowHeight="12456" activeTab="2" xr2:uid="{B5F5E983-C268-44DD-87EF-30575862D8B6}"/>
  </bookViews>
  <sheets>
    <sheet name="Inspection Checklist" sheetId="1" r:id="rId1"/>
    <sheet name="Cost Estimation" sheetId="2" r:id="rId2"/>
    <sheet name="Deal Analysis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8" i="3"/>
  <c r="B6" i="3"/>
  <c r="B21" i="3"/>
  <c r="D19" i="2"/>
  <c r="D20" i="2"/>
  <c r="B22" i="3"/>
  <c r="D30" i="2"/>
  <c r="D3" i="2"/>
  <c r="D7" i="2"/>
  <c r="D10" i="2"/>
  <c r="D14" i="2"/>
  <c r="D23" i="2"/>
  <c r="D25" i="2"/>
  <c r="D26" i="2"/>
  <c r="D27" i="2"/>
  <c r="F14" i="2"/>
  <c r="F20" i="2"/>
  <c r="F28" i="2"/>
  <c r="E3" i="2"/>
  <c r="E9" i="2"/>
  <c r="E19" i="2"/>
  <c r="E25" i="2"/>
  <c r="E27" i="2"/>
  <c r="C2" i="2"/>
  <c r="F2" i="2" s="1"/>
  <c r="C3" i="2"/>
  <c r="F3" i="2" s="1"/>
  <c r="C4" i="2"/>
  <c r="E4" i="2" s="1"/>
  <c r="C30" i="2"/>
  <c r="F30" i="2" s="1"/>
  <c r="C29" i="2"/>
  <c r="C28" i="2"/>
  <c r="E28" i="2" s="1"/>
  <c r="C27" i="2"/>
  <c r="F27" i="2" s="1"/>
  <c r="C26" i="2"/>
  <c r="F26" i="2" s="1"/>
  <c r="C25" i="2"/>
  <c r="F25" i="2" s="1"/>
  <c r="C24" i="2"/>
  <c r="F24" i="2" s="1"/>
  <c r="C23" i="2"/>
  <c r="F23" i="2" s="1"/>
  <c r="C22" i="2"/>
  <c r="E22" i="2" s="1"/>
  <c r="C21" i="2"/>
  <c r="E21" i="2" s="1"/>
  <c r="C20" i="2"/>
  <c r="E20" i="2" s="1"/>
  <c r="C19" i="2"/>
  <c r="F19" i="2" s="1"/>
  <c r="C18" i="2"/>
  <c r="F18" i="2" s="1"/>
  <c r="C17" i="2"/>
  <c r="F17" i="2" s="1"/>
  <c r="C16" i="2"/>
  <c r="F16" i="2" s="1"/>
  <c r="C15" i="2"/>
  <c r="F15" i="2" s="1"/>
  <c r="C14" i="2"/>
  <c r="E14" i="2" s="1"/>
  <c r="C13" i="2"/>
  <c r="E13" i="2" s="1"/>
  <c r="C12" i="2"/>
  <c r="E12" i="2" s="1"/>
  <c r="C11" i="2"/>
  <c r="F11" i="2" s="1"/>
  <c r="C10" i="2"/>
  <c r="F10" i="2" s="1"/>
  <c r="C9" i="2"/>
  <c r="F9" i="2" s="1"/>
  <c r="C8" i="2"/>
  <c r="F8" i="2" s="1"/>
  <c r="C7" i="2"/>
  <c r="F7" i="2" s="1"/>
  <c r="C6" i="2"/>
  <c r="E6" i="2" s="1"/>
  <c r="C5" i="2"/>
  <c r="E5" i="2" s="1"/>
  <c r="D24" i="2" l="1"/>
  <c r="D16" i="2"/>
  <c r="B4" i="3"/>
  <c r="B18" i="3"/>
  <c r="D28" i="2"/>
  <c r="F22" i="2"/>
  <c r="D22" i="2"/>
  <c r="D21" i="2"/>
  <c r="D15" i="2"/>
  <c r="D12" i="2"/>
  <c r="F12" i="2"/>
  <c r="D11" i="2"/>
  <c r="E11" i="2"/>
  <c r="D9" i="2"/>
  <c r="F6" i="2"/>
  <c r="D6" i="2"/>
  <c r="D2" i="2"/>
  <c r="D18" i="2"/>
  <c r="D17" i="2"/>
  <c r="E17" i="2"/>
  <c r="D13" i="2"/>
  <c r="D8" i="2"/>
  <c r="D5" i="2"/>
  <c r="D4" i="2"/>
  <c r="B5" i="3"/>
  <c r="E26" i="2"/>
  <c r="E18" i="2"/>
  <c r="E10" i="2"/>
  <c r="E2" i="2"/>
  <c r="F21" i="2"/>
  <c r="F13" i="2"/>
  <c r="F5" i="2"/>
  <c r="E16" i="2"/>
  <c r="E23" i="2"/>
  <c r="E15" i="2"/>
  <c r="E7" i="2"/>
  <c r="E8" i="2"/>
  <c r="E30" i="2"/>
  <c r="E24" i="2"/>
  <c r="F4" i="2"/>
  <c r="F32" i="2" l="1"/>
  <c r="F33" i="2" s="1"/>
  <c r="F34" i="2" s="1"/>
  <c r="D32" i="2"/>
  <c r="D33" i="2" s="1"/>
  <c r="E32" i="2"/>
  <c r="D34" i="2" l="1"/>
  <c r="B3" i="3" s="1"/>
  <c r="E33" i="2"/>
  <c r="E34" i="2" s="1"/>
  <c r="B7" i="3" l="1"/>
  <c r="B19" i="3" s="1"/>
  <c r="B23" i="3" s="1"/>
  <c r="B24" i="3" s="1"/>
  <c r="B12" i="3" l="1"/>
  <c r="B13" i="3"/>
  <c r="B14" i="3" s="1"/>
  <c r="B15" i="3" l="1"/>
</calcChain>
</file>

<file path=xl/sharedStrings.xml><?xml version="1.0" encoding="utf-8"?>
<sst xmlns="http://schemas.openxmlformats.org/spreadsheetml/2006/main" count="233" uniqueCount="114">
  <si>
    <t>Category</t>
  </si>
  <si>
    <t>Item</t>
  </si>
  <si>
    <t>Condition</t>
  </si>
  <si>
    <t>Notes</t>
  </si>
  <si>
    <t>Photo/Video Ref</t>
  </si>
  <si>
    <t>General Info</t>
  </si>
  <si>
    <t>Purchase Price</t>
  </si>
  <si>
    <t>Est. ARV</t>
  </si>
  <si>
    <t>Square Footage</t>
  </si>
  <si>
    <t>Year Built</t>
  </si>
  <si>
    <t>Exterior</t>
  </si>
  <si>
    <t>Roof</t>
  </si>
  <si>
    <t>Siding</t>
  </si>
  <si>
    <t>Windows</t>
  </si>
  <si>
    <t>Doors</t>
  </si>
  <si>
    <t>Foundation</t>
  </si>
  <si>
    <t>Driveway</t>
  </si>
  <si>
    <t>Landscaping</t>
  </si>
  <si>
    <t>Gutters</t>
  </si>
  <si>
    <t>Structural</t>
  </si>
  <si>
    <t>Walls</t>
  </si>
  <si>
    <t>Floors</t>
  </si>
  <si>
    <t>Ceilings</t>
  </si>
  <si>
    <t>Load-Bearing</t>
  </si>
  <si>
    <t>Attic</t>
  </si>
  <si>
    <t>Mechanical</t>
  </si>
  <si>
    <t>HVAC</t>
  </si>
  <si>
    <t>Plumbing</t>
  </si>
  <si>
    <t>Electrical</t>
  </si>
  <si>
    <t>Water Heater</t>
  </si>
  <si>
    <t>Interior</t>
  </si>
  <si>
    <t>Kitchen</t>
  </si>
  <si>
    <t>Bathrooms</t>
  </si>
  <si>
    <t>Bedrooms</t>
  </si>
  <si>
    <t>Living Areas</t>
  </si>
  <si>
    <t>Safety</t>
  </si>
  <si>
    <t>Smoke Detectors</t>
  </si>
  <si>
    <t>CO Detectors</t>
  </si>
  <si>
    <t>Pests</t>
  </si>
  <si>
    <t>Mold</t>
  </si>
  <si>
    <t>Lead Paint</t>
  </si>
  <si>
    <t>Additional</t>
  </si>
  <si>
    <t>Permits</t>
  </si>
  <si>
    <t>Neighborhood</t>
  </si>
  <si>
    <t>Garage</t>
  </si>
  <si>
    <t>Total Repair Cost</t>
  </si>
  <si>
    <t>Contingency (15%)</t>
  </si>
  <si>
    <t>Total w/ Contingency</t>
  </si>
  <si>
    <t>Input</t>
  </si>
  <si>
    <t>Value</t>
  </si>
  <si>
    <t>Total Investment</t>
  </si>
  <si>
    <t>Estimated ARV</t>
  </si>
  <si>
    <t>Flip Analysis</t>
  </si>
  <si>
    <t>Target Profit (%)</t>
  </si>
  <si>
    <t>Min. Profit Needed</t>
  </si>
  <si>
    <t>Expected Profit</t>
  </si>
  <si>
    <t>Flip Viability</t>
  </si>
  <si>
    <t>BRRRR Analysis</t>
  </si>
  <si>
    <t>Refinance Amount (75% ARV)</t>
  </si>
  <si>
    <t>Cash Left In Deal</t>
  </si>
  <si>
    <t>Est. Monthly Rent</t>
  </si>
  <si>
    <t>Est. Monthly Expenses</t>
  </si>
  <si>
    <t>Cash Flow</t>
  </si>
  <si>
    <t>BRRRR Viability</t>
  </si>
  <si>
    <t>Fair</t>
  </si>
  <si>
    <t>Poor</t>
  </si>
  <si>
    <t>Minor</t>
  </si>
  <si>
    <t>None</t>
  </si>
  <si>
    <t>Closing Costs</t>
  </si>
  <si>
    <t>Realtor Costs</t>
  </si>
  <si>
    <t>Estimated Cost (Min)</t>
  </si>
  <si>
    <t>Estimate Cost (Max)</t>
  </si>
  <si>
    <t>Holding Costs</t>
  </si>
  <si>
    <t>Return on Investment</t>
  </si>
  <si>
    <t>Cash on Cash Return</t>
  </si>
  <si>
    <t>Estimated Cost DIY</t>
  </si>
  <si>
    <t>Estimated</t>
  </si>
  <si>
    <t>Based on DIY</t>
  </si>
  <si>
    <t>2% of ARV</t>
  </si>
  <si>
    <t>5% of ARV</t>
  </si>
  <si>
    <t>3% of Purchase</t>
  </si>
  <si>
    <t>Selectable</t>
  </si>
  <si>
    <t>If Expected Profit &gt; Min Profit</t>
  </si>
  <si>
    <t>After pulling out equity</t>
  </si>
  <si>
    <t>Assumes mortgate, taxes, insurance, +20% of rent in expenses</t>
  </si>
  <si>
    <t xml:space="preserve">Full replacement, Gambrel Roof.  </t>
  </si>
  <si>
    <t xml:space="preserve">Some significant repair or replacement of aluminum siding required in some areas.  All siding requires power wash and paint. </t>
  </si>
  <si>
    <t>All windows require full replacement.  No obvious signs of leakage.</t>
  </si>
  <si>
    <t>All doors require replacement.  Two sliding glass doors, and two standard entry doors.  Basement door is slightly below grade…weird.</t>
  </si>
  <si>
    <t xml:space="preserve">Listed at 279,000.  Would pay $200K max. </t>
  </si>
  <si>
    <t>Based on comps, maybe $450-$475K on low end.</t>
  </si>
  <si>
    <t>Not clear if this includes two additions which might need to be removed.</t>
  </si>
  <si>
    <t>Cracks on outside patio.  First floor joists are sagging, floor is uneven.  Beam in basement is sagging.  Needs to be lifted and sistered.</t>
  </si>
  <si>
    <t xml:space="preserve">Didn't pay too much attention to it.  </t>
  </si>
  <si>
    <t>Great yard for price point.  Backs to nice little stream.  Might have part of yard in flood plain, but not structure.</t>
  </si>
  <si>
    <t xml:space="preserve">No obvious issues, but judging from the roof.   </t>
  </si>
  <si>
    <t>Structural walls seemed ok, but most walls need new drywall.</t>
  </si>
  <si>
    <t xml:space="preserve">First floor is wavy, and sagging.  All flooring needs to be replaced.  Tile on First Floor, and hardwood on second floor.  </t>
  </si>
  <si>
    <t>No obvious issues.</t>
  </si>
  <si>
    <t>First floor joists are sagging.</t>
  </si>
  <si>
    <t>No obvious issues.  Minor water damage, likely from distant past.</t>
  </si>
  <si>
    <t>No central air.  One window unit.  Would recommend mini-splits. Oil Burner and Tank need to be replaced with Natural Gas.  No water heater. Public water and sewer.</t>
  </si>
  <si>
    <t>No obvious issues other than no hot water.</t>
  </si>
  <si>
    <t>All fixtures and outlets must be replaced.  Additional outlets likely needed.  200A service which is adequate.</t>
  </si>
  <si>
    <t>Full Gut</t>
  </si>
  <si>
    <t>None seen</t>
  </si>
  <si>
    <t>No obvious pest damage</t>
  </si>
  <si>
    <t>Some past water damage.  May be minor mold.</t>
  </si>
  <si>
    <t>None.</t>
  </si>
  <si>
    <t>Don't know if addition is permitted or to code.</t>
  </si>
  <si>
    <t xml:space="preserve">Nice neighborhoold and location near downtown.  </t>
  </si>
  <si>
    <t>Good</t>
  </si>
  <si>
    <t>Clean</t>
  </si>
  <si>
    <t>Present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</si>
</sst>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164" fontId="0" fillId="0" borderId="0" xfId="0" applyNumberFormat="1"/>
    <xf numFmtId="164" fontId="2" fillId="2" borderId="1" xfId="0" applyNumberFormat="1" applyFont="1" applyFill="1" applyBorder="1"/>
    <xf numFmtId="0" fontId="2" fillId="0" borderId="1" xfId="0" applyFont="1" applyBorder="1"/>
    <xf numFmtId="9" fontId="0" fillId="0" borderId="1" xfId="0" applyNumberFormat="1" applyBorder="1"/>
    <xf numFmtId="44" fontId="0" fillId="0" borderId="1" xfId="1" applyFont="1" applyBorder="1"/>
    <xf numFmtId="165" fontId="0" fillId="0" borderId="0" xfId="1" applyNumberFormat="1" applyFont="1"/>
    <xf numFmtId="165" fontId="0" fillId="0" borderId="1" xfId="1" applyNumberFormat="1" applyFont="1" applyBorder="1"/>
    <xf numFmtId="165" fontId="0" fillId="0" borderId="0" xfId="0" applyNumberFormat="1"/>
    <xf numFmtId="44" fontId="0" fillId="0" borderId="0" xfId="1" applyFont="1" applyBorder="1"/>
    <xf numFmtId="165" fontId="0" fillId="0" borderId="3" xfId="1" applyNumberFormat="1" applyFont="1" applyBorder="1"/>
    <xf numFmtId="9" fontId="0" fillId="0" borderId="1" xfId="2" applyFont="1" applyBorder="1"/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wrapText="1"/>
    </xf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165" fontId="2" fillId="2" borderId="1" xfId="1" applyNumberFormat="1" applyFont="1" applyFill="1" applyBorder="1"/>
    <xf numFmtId="165" fontId="2" fillId="2" borderId="2" xfId="1" applyNumberFormat="1" applyFont="1" applyFill="1" applyBorder="1"/>
  </cellXfs>
  <cellStyles count="3">
    <cellStyle name="Currency" xfId="1" builtinId="4"/>
    <cellStyle name="Normal" xfId="0" builtinId="0"/>
    <cellStyle name="Percent" xfId="2" builtinId="5"/>
  </cellStyles>
  <dxfs count="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C6A9D-8E51-48B1-AD15-40311DC6BEF5}">
  <sheetPr codeName="Sheet1"/>
  <dimension ref="A1:E34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24" customWidth="1"/>
    <col min="2" max="2" width="17.44140625" customWidth="1"/>
    <col min="3" max="3" width="20.77734375" customWidth="1"/>
    <col min="4" max="4" width="47.5546875" style="18" customWidth="1"/>
    <col min="5" max="5" width="20.77734375" customWidth="1"/>
  </cols>
  <sheetData>
    <row r="1" spans="1:5" ht="22.2" customHeight="1" x14ac:dyDescent="0.3">
      <c r="A1" s="1" t="s">
        <v>0</v>
      </c>
      <c r="B1" s="1" t="s">
        <v>1</v>
      </c>
      <c r="C1" s="1" t="s">
        <v>2</v>
      </c>
      <c r="D1" s="17" t="s">
        <v>3</v>
      </c>
      <c r="E1" s="1" t="s">
        <v>4</v>
      </c>
    </row>
    <row r="2" spans="1:5" x14ac:dyDescent="0.3">
      <c r="A2" s="2" t="s">
        <v>5</v>
      </c>
      <c r="B2" s="2" t="s">
        <v>6</v>
      </c>
      <c r="C2" s="3">
        <v>350000</v>
      </c>
      <c r="D2" s="16" t="s">
        <v>89</v>
      </c>
      <c r="E2" s="2"/>
    </row>
    <row r="3" spans="1:5" ht="22.2" customHeight="1" x14ac:dyDescent="0.3">
      <c r="A3" s="2" t="s">
        <v>5</v>
      </c>
      <c r="B3" s="2" t="s">
        <v>7</v>
      </c>
      <c r="C3" s="3">
        <v>550000</v>
      </c>
      <c r="D3" s="16" t="s">
        <v>90</v>
      </c>
      <c r="E3" s="2"/>
    </row>
    <row r="4" spans="1:5" ht="28.8" x14ac:dyDescent="0.3">
      <c r="A4" s="2" t="s">
        <v>5</v>
      </c>
      <c r="B4" s="2" t="s">
        <v>8</v>
      </c>
      <c r="C4" s="2">
        <v>1359</v>
      </c>
      <c r="D4" s="16" t="s">
        <v>91</v>
      </c>
      <c r="E4" s="2"/>
    </row>
    <row r="5" spans="1:5" ht="22.2" customHeight="1" x14ac:dyDescent="0.3">
      <c r="A5" s="2" t="s">
        <v>5</v>
      </c>
      <c r="B5" s="2" t="s">
        <v>9</v>
      </c>
      <c r="C5" s="2">
        <v>1927</v>
      </c>
      <c r="D5" s="16"/>
      <c r="E5" s="2"/>
    </row>
    <row r="6" spans="1:5" ht="22.2" customHeight="1" x14ac:dyDescent="0.3">
      <c r="A6" s="2" t="s">
        <v>10</v>
      </c>
      <c r="B6" s="2" t="s">
        <v>11</v>
      </c>
      <c r="C6" s="2" t="s">
        <v>65</v>
      </c>
      <c r="D6" s="16" t="s">
        <v>85</v>
      </c>
      <c r="E6" s="2"/>
    </row>
    <row r="7" spans="1:5" ht="43.2" x14ac:dyDescent="0.3">
      <c r="A7" s="2" t="s">
        <v>10</v>
      </c>
      <c r="B7" s="2" t="s">
        <v>12</v>
      </c>
      <c r="C7" s="2" t="s">
        <v>64</v>
      </c>
      <c r="D7" s="16" t="s">
        <v>86</v>
      </c>
      <c r="E7" s="2"/>
    </row>
    <row r="8" spans="1:5" ht="28.8" x14ac:dyDescent="0.3">
      <c r="A8" s="2" t="s">
        <v>10</v>
      </c>
      <c r="B8" s="2" t="s">
        <v>13</v>
      </c>
      <c r="C8" s="2" t="s">
        <v>64</v>
      </c>
      <c r="D8" s="16" t="s">
        <v>87</v>
      </c>
      <c r="E8" s="2"/>
    </row>
    <row r="9" spans="1:5" ht="43.2" x14ac:dyDescent="0.3">
      <c r="A9" s="2" t="s">
        <v>10</v>
      </c>
      <c r="B9" s="2" t="s">
        <v>14</v>
      </c>
      <c r="C9" s="2" t="s">
        <v>64</v>
      </c>
      <c r="D9" s="16" t="s">
        <v>88</v>
      </c>
      <c r="E9" s="2"/>
    </row>
    <row r="10" spans="1:5" ht="43.2" x14ac:dyDescent="0.3">
      <c r="A10" s="2" t="s">
        <v>10</v>
      </c>
      <c r="B10" s="2" t="s">
        <v>15</v>
      </c>
      <c r="C10" s="2" t="s">
        <v>111</v>
      </c>
      <c r="D10" s="16" t="s">
        <v>92</v>
      </c>
      <c r="E10" s="2"/>
    </row>
    <row r="11" spans="1:5" ht="22.2" customHeight="1" x14ac:dyDescent="0.3">
      <c r="A11" s="2" t="s">
        <v>10</v>
      </c>
      <c r="B11" s="2" t="s">
        <v>16</v>
      </c>
      <c r="C11" s="2" t="s">
        <v>64</v>
      </c>
      <c r="D11" s="16" t="s">
        <v>93</v>
      </c>
      <c r="E11" s="2"/>
    </row>
    <row r="12" spans="1:5" ht="28.8" x14ac:dyDescent="0.3">
      <c r="A12" s="2" t="s">
        <v>10</v>
      </c>
      <c r="B12" s="2" t="s">
        <v>17</v>
      </c>
      <c r="C12" s="2" t="s">
        <v>111</v>
      </c>
      <c r="D12" s="16" t="s">
        <v>94</v>
      </c>
      <c r="E12" s="2"/>
    </row>
    <row r="13" spans="1:5" ht="22.2" customHeight="1" x14ac:dyDescent="0.3">
      <c r="A13" s="2" t="s">
        <v>10</v>
      </c>
      <c r="B13" s="2" t="s">
        <v>18</v>
      </c>
      <c r="C13" s="2" t="s">
        <v>64</v>
      </c>
      <c r="D13" s="16" t="s">
        <v>95</v>
      </c>
      <c r="E13" s="2"/>
    </row>
    <row r="14" spans="1:5" ht="28.8" x14ac:dyDescent="0.3">
      <c r="A14" s="2" t="s">
        <v>19</v>
      </c>
      <c r="B14" s="2" t="s">
        <v>20</v>
      </c>
      <c r="C14" s="2" t="s">
        <v>111</v>
      </c>
      <c r="D14" s="16" t="s">
        <v>96</v>
      </c>
      <c r="E14" s="2"/>
    </row>
    <row r="15" spans="1:5" ht="43.2" x14ac:dyDescent="0.3">
      <c r="A15" s="2" t="s">
        <v>19</v>
      </c>
      <c r="B15" s="2" t="s">
        <v>21</v>
      </c>
      <c r="C15" s="2" t="s">
        <v>64</v>
      </c>
      <c r="D15" s="16" t="s">
        <v>97</v>
      </c>
      <c r="E15" s="2"/>
    </row>
    <row r="16" spans="1:5" ht="22.2" customHeight="1" x14ac:dyDescent="0.3">
      <c r="A16" s="2" t="s">
        <v>19</v>
      </c>
      <c r="B16" s="2" t="s">
        <v>22</v>
      </c>
      <c r="C16" s="2" t="s">
        <v>64</v>
      </c>
      <c r="D16" s="16" t="s">
        <v>98</v>
      </c>
      <c r="E16" s="2"/>
    </row>
    <row r="17" spans="1:5" ht="22.2" customHeight="1" x14ac:dyDescent="0.3">
      <c r="A17" s="2" t="s">
        <v>19</v>
      </c>
      <c r="B17" s="2" t="s">
        <v>23</v>
      </c>
      <c r="C17" s="2" t="s">
        <v>111</v>
      </c>
      <c r="D17" s="16" t="s">
        <v>99</v>
      </c>
      <c r="E17" s="2"/>
    </row>
    <row r="18" spans="1:5" ht="28.8" x14ac:dyDescent="0.3">
      <c r="A18" s="2" t="s">
        <v>19</v>
      </c>
      <c r="B18" s="2" t="s">
        <v>24</v>
      </c>
      <c r="C18" s="2" t="s">
        <v>64</v>
      </c>
      <c r="D18" s="16" t="s">
        <v>100</v>
      </c>
      <c r="E18" s="2"/>
    </row>
    <row r="19" spans="1:5" ht="57.6" x14ac:dyDescent="0.3">
      <c r="A19" s="2" t="s">
        <v>25</v>
      </c>
      <c r="B19" s="2" t="s">
        <v>26</v>
      </c>
      <c r="C19" s="2" t="s">
        <v>64</v>
      </c>
      <c r="D19" s="16" t="s">
        <v>101</v>
      </c>
      <c r="E19" s="2"/>
    </row>
    <row r="20" spans="1:5" ht="22.2" customHeight="1" x14ac:dyDescent="0.3">
      <c r="A20" s="2" t="s">
        <v>25</v>
      </c>
      <c r="B20" s="2" t="s">
        <v>27</v>
      </c>
      <c r="C20" s="2" t="s">
        <v>111</v>
      </c>
      <c r="D20" s="16" t="s">
        <v>102</v>
      </c>
      <c r="E20" s="2"/>
    </row>
    <row r="21" spans="1:5" ht="28.8" x14ac:dyDescent="0.3">
      <c r="A21" s="2" t="s">
        <v>25</v>
      </c>
      <c r="B21" s="2" t="s">
        <v>28</v>
      </c>
      <c r="C21" s="2" t="s">
        <v>64</v>
      </c>
      <c r="D21" s="16" t="s">
        <v>103</v>
      </c>
      <c r="E21" s="2"/>
    </row>
    <row r="22" spans="1:5" ht="22.2" customHeight="1" x14ac:dyDescent="0.3">
      <c r="A22" s="2" t="s">
        <v>25</v>
      </c>
      <c r="B22" s="2" t="s">
        <v>29</v>
      </c>
      <c r="C22" s="2" t="s">
        <v>111</v>
      </c>
      <c r="D22" s="16" t="s">
        <v>67</v>
      </c>
      <c r="E22" s="2"/>
    </row>
    <row r="23" spans="1:5" ht="22.2" customHeight="1" x14ac:dyDescent="0.3">
      <c r="A23" s="2" t="s">
        <v>30</v>
      </c>
      <c r="B23" s="2" t="s">
        <v>31</v>
      </c>
      <c r="C23" s="2" t="s">
        <v>65</v>
      </c>
      <c r="D23" s="16" t="s">
        <v>104</v>
      </c>
      <c r="E23" s="2"/>
    </row>
    <row r="24" spans="1:5" ht="22.2" customHeight="1" x14ac:dyDescent="0.3">
      <c r="A24" s="2" t="s">
        <v>30</v>
      </c>
      <c r="B24" s="2" t="s">
        <v>32</v>
      </c>
      <c r="C24" s="2" t="s">
        <v>65</v>
      </c>
      <c r="D24" s="16" t="s">
        <v>104</v>
      </c>
      <c r="E24" s="2"/>
    </row>
    <row r="25" spans="1:5" ht="22.2" customHeight="1" x14ac:dyDescent="0.3">
      <c r="A25" s="2" t="s">
        <v>30</v>
      </c>
      <c r="B25" s="2" t="s">
        <v>33</v>
      </c>
      <c r="C25" s="2" t="s">
        <v>64</v>
      </c>
      <c r="D25" s="16" t="s">
        <v>104</v>
      </c>
      <c r="E25" s="2"/>
    </row>
    <row r="26" spans="1:5" ht="22.2" customHeight="1" x14ac:dyDescent="0.3">
      <c r="A26" s="2" t="s">
        <v>30</v>
      </c>
      <c r="B26" s="2" t="s">
        <v>34</v>
      </c>
      <c r="C26" s="2" t="s">
        <v>64</v>
      </c>
      <c r="D26" s="16" t="s">
        <v>104</v>
      </c>
      <c r="E26" s="2"/>
    </row>
    <row r="27" spans="1:5" ht="22.2" customHeight="1" x14ac:dyDescent="0.3">
      <c r="A27" s="2" t="s">
        <v>35</v>
      </c>
      <c r="B27" s="2" t="s">
        <v>36</v>
      </c>
      <c r="C27" s="2" t="s">
        <v>113</v>
      </c>
      <c r="D27" s="16" t="s">
        <v>105</v>
      </c>
      <c r="E27" s="2"/>
    </row>
    <row r="28" spans="1:5" ht="22.2" customHeight="1" x14ac:dyDescent="0.3">
      <c r="A28" s="2" t="s">
        <v>35</v>
      </c>
      <c r="B28" s="2" t="s">
        <v>37</v>
      </c>
      <c r="C28" s="2" t="s">
        <v>113</v>
      </c>
      <c r="D28" s="16" t="s">
        <v>105</v>
      </c>
      <c r="E28" s="2"/>
    </row>
    <row r="29" spans="1:5" ht="22.2" customHeight="1" x14ac:dyDescent="0.3">
      <c r="A29" s="2" t="s">
        <v>35</v>
      </c>
      <c r="B29" s="2" t="s">
        <v>38</v>
      </c>
      <c r="C29" s="2" t="s">
        <v>66</v>
      </c>
      <c r="D29" s="16" t="s">
        <v>106</v>
      </c>
      <c r="E29" s="2"/>
    </row>
    <row r="30" spans="1:5" ht="22.2" customHeight="1" x14ac:dyDescent="0.3">
      <c r="A30" s="2" t="s">
        <v>35</v>
      </c>
      <c r="B30" s="2" t="s">
        <v>39</v>
      </c>
      <c r="C30" s="2" t="s">
        <v>66</v>
      </c>
      <c r="D30" s="16" t="s">
        <v>107</v>
      </c>
      <c r="E30" s="2"/>
    </row>
    <row r="31" spans="1:5" ht="22.2" customHeight="1" x14ac:dyDescent="0.3">
      <c r="A31" s="2" t="s">
        <v>35</v>
      </c>
      <c r="B31" s="2" t="s">
        <v>40</v>
      </c>
      <c r="C31" s="2" t="s">
        <v>67</v>
      </c>
      <c r="D31" s="16" t="s">
        <v>108</v>
      </c>
      <c r="E31" s="2"/>
    </row>
    <row r="32" spans="1:5" ht="22.2" customHeight="1" x14ac:dyDescent="0.3">
      <c r="A32" s="2" t="s">
        <v>41</v>
      </c>
      <c r="B32" s="2" t="s">
        <v>42</v>
      </c>
      <c r="C32" s="2" t="s">
        <v>112</v>
      </c>
      <c r="D32" s="16" t="s">
        <v>109</v>
      </c>
      <c r="E32" s="2"/>
    </row>
    <row r="33" spans="1:5" ht="22.2" customHeight="1" x14ac:dyDescent="0.3">
      <c r="A33" s="2" t="s">
        <v>41</v>
      </c>
      <c r="B33" s="2" t="s">
        <v>43</v>
      </c>
      <c r="C33" s="2" t="s">
        <v>111</v>
      </c>
      <c r="D33" s="16" t="s">
        <v>110</v>
      </c>
      <c r="E33" s="2"/>
    </row>
    <row r="34" spans="1:5" ht="22.2" customHeight="1" x14ac:dyDescent="0.3">
      <c r="A34" s="2" t="s">
        <v>41</v>
      </c>
      <c r="B34" s="2" t="s">
        <v>44</v>
      </c>
      <c r="C34" s="2" t="s">
        <v>65</v>
      </c>
      <c r="D34" s="16" t="s">
        <v>67</v>
      </c>
      <c r="E34" s="2"/>
    </row>
  </sheetData>
  <dataValidations count="5">
    <dataValidation type="list" allowBlank="1" showInputMessage="1" showErrorMessage="1" sqref="C6:C26 C33:C34" xr:uid="{E8457C93-125B-4882-A88E-0DD1FEE94169}">
      <formula1>"Good, Fair, Poor"</formula1>
    </dataValidation>
    <dataValidation type="list" allowBlank="1" showInputMessage="1" showErrorMessage="1" sqref="C27:C28" xr:uid="{63575DFE-5129-43D1-AF26-ACF8C27C074E}">
      <formula1>"Present, Missing, Non-Functional"</formula1>
    </dataValidation>
    <dataValidation type="list" allowBlank="1" showInputMessage="1" showErrorMessage="1" sqref="C29:C30" xr:uid="{E76BB975-BE50-4A43-96C2-BADE36969A4A}">
      <formula1>"None, Minor, Severe"</formula1>
    </dataValidation>
    <dataValidation type="list" allowBlank="1" showInputMessage="1" showErrorMessage="1" sqref="C31" xr:uid="{1FA50317-D011-416D-97B6-5000B0720570}">
      <formula1>"None, Suspected, Confirmed"</formula1>
    </dataValidation>
    <dataValidation type="list" allowBlank="1" showInputMessage="1" showErrorMessage="1" sqref="C32" xr:uid="{4C6DD6F6-D045-43E8-AA7A-58E11524C604}">
      <formula1>"Clean, Unknown, Issues"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32670-C8A8-4A95-A2AB-1021D01C02F0}">
  <sheetPr codeName="Sheet2"/>
  <dimension ref="A1:I35"/>
  <sheetViews>
    <sheetView workbookViewId="0">
      <pane ySplit="1" topLeftCell="A11" activePane="bottomLeft" state="frozen"/>
      <selection pane="bottomLeft" activeCell="D20" sqref="D20"/>
    </sheetView>
  </sheetViews>
  <sheetFormatPr defaultRowHeight="14.4" x14ac:dyDescent="0.3"/>
  <cols>
    <col min="1" max="2" width="15.77734375" customWidth="1"/>
    <col min="3" max="5" width="20.77734375" customWidth="1"/>
    <col min="6" max="6" width="19.5546875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75</v>
      </c>
      <c r="E1" s="19" t="s">
        <v>70</v>
      </c>
      <c r="F1" s="20" t="s">
        <v>71</v>
      </c>
    </row>
    <row r="2" spans="1:6" x14ac:dyDescent="0.3">
      <c r="A2" s="2" t="s">
        <v>10</v>
      </c>
      <c r="B2" s="2" t="s">
        <v>11</v>
      </c>
      <c r="C2" s="2" t="str">
        <f>'Inspection Checklist'!C6</f>
        <v>Poor</v>
      </c>
      <c r="D2" s="9">
        <f>IF(C2="Good",0,IF(C2="Fair",3000,IF(C2="Poor",8000,"")))</f>
        <v>8000</v>
      </c>
      <c r="E2" s="9">
        <f>IF(C2="Good",0,IF(C2="Fair",3000,IF(C2="Poor",8000,"")))</f>
        <v>8000</v>
      </c>
      <c r="F2" s="10">
        <f>IF(C2="Good",500,IF(C2="Fair",6000,IF(C2="Poor",15000,"")))</f>
        <v>15000</v>
      </c>
    </row>
    <row r="3" spans="1:6" x14ac:dyDescent="0.3">
      <c r="A3" s="2" t="s">
        <v>10</v>
      </c>
      <c r="B3" s="2" t="s">
        <v>12</v>
      </c>
      <c r="C3" s="2" t="str">
        <f>'Inspection Checklist'!C7</f>
        <v>Fair</v>
      </c>
      <c r="D3" s="12">
        <f>IF(C3="Good",0,IF(C3="Fair",5000,IF(C3="Poor",12000,"")))</f>
        <v>5000</v>
      </c>
      <c r="E3" s="9">
        <f>IF(C3="Good",0,IF(C3="Fair",5000,IF(C3="Poor",12000,"")))</f>
        <v>5000</v>
      </c>
      <c r="F3" s="10">
        <f>IF(C3="Good",800,IF(C3="Fair",8000,IF(C3="Poor",20000,"")))</f>
        <v>8000</v>
      </c>
    </row>
    <row r="4" spans="1:6" x14ac:dyDescent="0.3">
      <c r="A4" s="2" t="s">
        <v>10</v>
      </c>
      <c r="B4" s="2" t="s">
        <v>13</v>
      </c>
      <c r="C4" s="2" t="str">
        <f>'Inspection Checklist'!C8</f>
        <v>Fair</v>
      </c>
      <c r="D4" s="8">
        <f>IF(C4="Good",0,IF(C4="Fair",3500,IF(C4="Poor",10000,"")))</f>
        <v>3500</v>
      </c>
      <c r="E4" s="13">
        <f>IF(C4="Good",0,IF(C4="Fair",3500,IF(C4="Poor",10000,"")))</f>
        <v>3500</v>
      </c>
      <c r="F4" s="10">
        <f>IF(C4="Good",500,IF(C4="Fair",7000,IF(C4="Poor",18000,"")))</f>
        <v>7000</v>
      </c>
    </row>
    <row r="5" spans="1:6" x14ac:dyDescent="0.3">
      <c r="A5" s="2" t="s">
        <v>10</v>
      </c>
      <c r="B5" s="2" t="s">
        <v>14</v>
      </c>
      <c r="C5" s="2" t="str">
        <f>'Inspection Checklist'!C9</f>
        <v>Fair</v>
      </c>
      <c r="D5" s="8">
        <f>IF(C5="Good",0,IF(C5="Fair",600,IF(C5="Poor",1800,"")))</f>
        <v>600</v>
      </c>
      <c r="E5" s="13">
        <f>IF(C5="Good",0,IF(C5="Fair",1000,IF(C5="Poor",3000,"")))</f>
        <v>1000</v>
      </c>
      <c r="F5" s="10">
        <f>IF(C5="Good",300,IF(C5="Fair",2500,IF(C5="Poor",5000,"")))</f>
        <v>2500</v>
      </c>
    </row>
    <row r="6" spans="1:6" x14ac:dyDescent="0.3">
      <c r="A6" s="2" t="s">
        <v>10</v>
      </c>
      <c r="B6" s="2" t="s">
        <v>15</v>
      </c>
      <c r="C6" s="2" t="str">
        <f>'Inspection Checklist'!C10</f>
        <v>Good</v>
      </c>
      <c r="D6" s="8">
        <f>IF(C6="Good",0,IF(C6="Fair",5000,IF(C6="Poor",15000,"")))</f>
        <v>0</v>
      </c>
      <c r="E6" s="13">
        <f>IF(C6="Good",0,IF(C6="Fair",5000,IF(C6="Poor",15000,"")))</f>
        <v>0</v>
      </c>
      <c r="F6" s="10">
        <f>IF(C6="Good",1000,IF(C6="Fair",10000,IF(C6="Poor",40000,"")))</f>
        <v>1000</v>
      </c>
    </row>
    <row r="7" spans="1:6" x14ac:dyDescent="0.3">
      <c r="A7" s="2" t="s">
        <v>10</v>
      </c>
      <c r="B7" s="2" t="s">
        <v>16</v>
      </c>
      <c r="C7" s="2" t="str">
        <f>'Inspection Checklist'!C11</f>
        <v>Fair</v>
      </c>
      <c r="D7" s="8">
        <f>IF(C7="Good",200,IF(C7="Fair",1200,IF(C7="Poor",3500,"")))</f>
        <v>1200</v>
      </c>
      <c r="E7" s="13">
        <f>IF(C7="Good",500,IF(C7="Fair",3000,IF(C7="Poor",7000,"")))</f>
        <v>3000</v>
      </c>
      <c r="F7" s="10">
        <f>IF(C7="Good",1000,IF(C7="Fair",6000,IF(C7="Poor",12000,"")))</f>
        <v>6000</v>
      </c>
    </row>
    <row r="8" spans="1:6" x14ac:dyDescent="0.3">
      <c r="A8" s="2" t="s">
        <v>10</v>
      </c>
      <c r="B8" s="2" t="s">
        <v>17</v>
      </c>
      <c r="C8" s="2" t="str">
        <f>'Inspection Checklist'!C12</f>
        <v>Good</v>
      </c>
      <c r="D8" s="8">
        <f>IF(C8="Good",150,IF(C8="Fair",800,IF(C8="Poor",2000,"")))</f>
        <v>150</v>
      </c>
      <c r="E8" s="13">
        <f>IF(C8="Good",500,IF(C8="Fair",2500,IF(C8="Poor",6000,"")))</f>
        <v>500</v>
      </c>
      <c r="F8" s="10">
        <f>IF(C8="Good",1500,IF(C8="Fair",5000,IF(C8="Poor",12000,"")))</f>
        <v>1500</v>
      </c>
    </row>
    <row r="9" spans="1:6" x14ac:dyDescent="0.3">
      <c r="A9" s="2" t="s">
        <v>10</v>
      </c>
      <c r="B9" s="2" t="s">
        <v>18</v>
      </c>
      <c r="C9" s="2" t="str">
        <f>'Inspection Checklist'!C13</f>
        <v>Fair</v>
      </c>
      <c r="D9" s="8">
        <f>IF(C9="Good",100,IF(C9="Fair",600,IF(C9="Poor",1500,"")))</f>
        <v>600</v>
      </c>
      <c r="E9" s="13">
        <f>IF(C9="Good",200,IF(C9="Fair",1000,IF(C9="Poor",2500,"")))</f>
        <v>1000</v>
      </c>
      <c r="F9" s="10">
        <f>IF(C9="Good",500,IF(C9="Fair",2000,IF(C9="Poor",4500,"")))</f>
        <v>2000</v>
      </c>
    </row>
    <row r="10" spans="1:6" x14ac:dyDescent="0.3">
      <c r="A10" s="2" t="s">
        <v>19</v>
      </c>
      <c r="B10" s="2" t="s">
        <v>20</v>
      </c>
      <c r="C10" s="2" t="str">
        <f>'Inspection Checklist'!C14</f>
        <v>Good</v>
      </c>
      <c r="D10" s="8">
        <f>IF(C10="Good",150,IF(C10="Fair",1200,IF(C10="Poor",4000,"")))</f>
        <v>150</v>
      </c>
      <c r="E10" s="13">
        <f>IF(C10="Good",500,IF(C10="Fair",3000,IF(C10="Poor",10000,"")))</f>
        <v>500</v>
      </c>
      <c r="F10" s="10">
        <f>IF(C10="Good",1000,IF(C10="Fair",7000,IF(C10="Poor",20000,"")))</f>
        <v>1000</v>
      </c>
    </row>
    <row r="11" spans="1:6" x14ac:dyDescent="0.3">
      <c r="A11" s="2" t="s">
        <v>19</v>
      </c>
      <c r="B11" s="2" t="s">
        <v>21</v>
      </c>
      <c r="C11" s="2" t="str">
        <f>'Inspection Checklist'!C15</f>
        <v>Fair</v>
      </c>
      <c r="D11" s="8">
        <f>IF(C11="Good",300,IF(C11="Fair",2000,IF(C11="Poor",5000,"")))</f>
        <v>2000</v>
      </c>
      <c r="E11" s="13">
        <f>IF(C11="Good",1000,IF(C11="Fair",5000,IF(C11="Poor",12000,"")))</f>
        <v>5000</v>
      </c>
      <c r="F11" s="10">
        <f>IF(C11="Good",2000,IF(C11="Fair",10000,IF(C11="Poor",25000,"")))</f>
        <v>10000</v>
      </c>
    </row>
    <row r="12" spans="1:6" x14ac:dyDescent="0.3">
      <c r="A12" s="2" t="s">
        <v>19</v>
      </c>
      <c r="B12" s="2" t="s">
        <v>22</v>
      </c>
      <c r="C12" s="2" t="str">
        <f>'Inspection Checklist'!C16</f>
        <v>Fair</v>
      </c>
      <c r="D12" s="8">
        <f>IF(C12="Good",150,IF(C12="Fair",800,IF(C12="Poor",2500,"")))</f>
        <v>800</v>
      </c>
      <c r="E12" s="13">
        <f>IF(C12="Good",500,IF(C12="Fair",2000,IF(C12="Poor",5000,"")))</f>
        <v>2000</v>
      </c>
      <c r="F12" s="10">
        <f>IF(C12="Good",1000,IF(C12="Fair",4000,IF(C12="Poor",10000,"")))</f>
        <v>4000</v>
      </c>
    </row>
    <row r="13" spans="1:6" x14ac:dyDescent="0.3">
      <c r="A13" s="2" t="s">
        <v>19</v>
      </c>
      <c r="B13" s="2" t="s">
        <v>23</v>
      </c>
      <c r="C13" s="2" t="str">
        <f>'Inspection Checklist'!C17</f>
        <v>Good</v>
      </c>
      <c r="D13" s="8">
        <f>IF(C13="Good",0,IF(C13="Fair",3000,IF(C13="Poor",10000,"")))</f>
        <v>0</v>
      </c>
      <c r="E13" s="13">
        <f>IF(C13="Good",0,IF(C13="Fair",3000,IF(C13="Poor",10000,"")))</f>
        <v>0</v>
      </c>
      <c r="F13" s="10">
        <f>IF(C13="Good",500,IF(C13="Fair",8000,IF(C13="Poor",30000,"")))</f>
        <v>500</v>
      </c>
    </row>
    <row r="14" spans="1:6" x14ac:dyDescent="0.3">
      <c r="A14" s="2" t="s">
        <v>19</v>
      </c>
      <c r="B14" s="2" t="s">
        <v>24</v>
      </c>
      <c r="C14" s="2" t="str">
        <f>'Inspection Checklist'!C18</f>
        <v>Fair</v>
      </c>
      <c r="D14" s="8">
        <f>IF(C14="Good",150,IF(C14="Fair",800,IF(C14="Poor",2500,"")))</f>
        <v>800</v>
      </c>
      <c r="E14" s="13">
        <f>IF(C14="Good",500,IF(C14="Fair",2000,IF(C14="Poor",6000,"")))</f>
        <v>2000</v>
      </c>
      <c r="F14" s="10">
        <f>IF(C14="Good",1500,IF(C14="Fair",5000,IF(C14="Poor",12000,"")))</f>
        <v>5000</v>
      </c>
    </row>
    <row r="15" spans="1:6" x14ac:dyDescent="0.3">
      <c r="A15" s="2" t="s">
        <v>25</v>
      </c>
      <c r="B15" s="2" t="s">
        <v>26</v>
      </c>
      <c r="C15" s="2" t="str">
        <f>'Inspection Checklist'!C19</f>
        <v>Fair</v>
      </c>
      <c r="D15" s="8">
        <f>IF(C15="Good",500,IF(C15="Fair",3000,IF(C15="Poor",8000,"")))</f>
        <v>3000</v>
      </c>
      <c r="E15" s="13">
        <f>IF(C15="Good",500,IF(C15="Fair",3000,IF(C15="Poor",8000,"")))</f>
        <v>3000</v>
      </c>
      <c r="F15" s="10">
        <f>IF(C15="Good",1500,IF(C15="Fair",6000,IF(C15="Poor",15000,"")))</f>
        <v>6000</v>
      </c>
    </row>
    <row r="16" spans="1:6" x14ac:dyDescent="0.3">
      <c r="A16" s="2" t="s">
        <v>25</v>
      </c>
      <c r="B16" s="2" t="s">
        <v>27</v>
      </c>
      <c r="C16" s="2" t="str">
        <f>'Inspection Checklist'!C20</f>
        <v>Good</v>
      </c>
      <c r="D16" s="8">
        <f>IF(C16="Good",500,IF(C16="Fair",3000,IF(C16="Poor",10000,"")))</f>
        <v>500</v>
      </c>
      <c r="E16" s="13">
        <f>IF(C16="Good",500,IF(C16="Fair",3000,IF(C16="Poor",10000,"")))</f>
        <v>500</v>
      </c>
      <c r="F16" s="10">
        <f>IF(C16="Good",1500,IF(C16="Fair",7000,IF(C16="Poor",20000,"")))</f>
        <v>1500</v>
      </c>
    </row>
    <row r="17" spans="1:9" x14ac:dyDescent="0.3">
      <c r="A17" s="2" t="s">
        <v>25</v>
      </c>
      <c r="B17" s="2" t="s">
        <v>28</v>
      </c>
      <c r="C17" s="2" t="str">
        <f>'Inspection Checklist'!C21</f>
        <v>Fair</v>
      </c>
      <c r="D17" s="8">
        <f>IF(C17="Good",500,IF(C17="Fair",3000,IF(C17="Poor",10000,"")))</f>
        <v>3000</v>
      </c>
      <c r="E17" s="13">
        <f>IF(C17="Good",500,IF(C17="Fair",3000,IF(C17="Poor",10000,"")))</f>
        <v>3000</v>
      </c>
      <c r="F17" s="10">
        <f>IF(C17="Good",2000,IF(C17="Fair",7000,IF(C17="Poor",20000,"")))</f>
        <v>7000</v>
      </c>
    </row>
    <row r="18" spans="1:9" x14ac:dyDescent="0.3">
      <c r="A18" s="2" t="s">
        <v>25</v>
      </c>
      <c r="B18" s="2" t="s">
        <v>29</v>
      </c>
      <c r="C18" s="2" t="str">
        <f>'Inspection Checklist'!C22</f>
        <v>Good</v>
      </c>
      <c r="D18" s="8">
        <f>IF(C18="Good",0,IF(C18="Fair",800,IF(C18="Poor",1500,"")))</f>
        <v>0</v>
      </c>
      <c r="E18" s="13">
        <f>IF(C18="Good",0,IF(C18="Fair",800,IF(C18="Poor",1500,"")))</f>
        <v>0</v>
      </c>
      <c r="F18" s="10">
        <f>IF(C18="Good",300,IF(C18="Fair",1500,IF(C18="Poor",3000,"")))</f>
        <v>300</v>
      </c>
    </row>
    <row r="19" spans="1:9" x14ac:dyDescent="0.3">
      <c r="A19" s="2" t="s">
        <v>30</v>
      </c>
      <c r="B19" s="2" t="s">
        <v>31</v>
      </c>
      <c r="C19" s="2" t="str">
        <f>'Inspection Checklist'!C23</f>
        <v>Poor</v>
      </c>
      <c r="D19" s="8">
        <f>IF(C19="Good",800,IF(C19="Fair",4000,IF(C19="Poor",18000,"")))</f>
        <v>18000</v>
      </c>
      <c r="E19" s="13">
        <f>IF(C19="Good",2000,IF(C19="Fair",10000,IF(C19="Poor",25000,"")))</f>
        <v>25000</v>
      </c>
      <c r="F19" s="10">
        <f>IF(C19="Good",5000,IF(C19="Fair",20000,IF(C19="Poor",50000,"")))</f>
        <v>50000</v>
      </c>
      <c r="I19" s="11"/>
    </row>
    <row r="20" spans="1:9" x14ac:dyDescent="0.3">
      <c r="A20" s="2" t="s">
        <v>30</v>
      </c>
      <c r="B20" s="2" t="s">
        <v>32</v>
      </c>
      <c r="C20" s="2" t="str">
        <f>'Inspection Checklist'!C24</f>
        <v>Poor</v>
      </c>
      <c r="D20" s="8">
        <f>IF(C20="Good",400,IF(C20="Fair",2000,IF(C20="Poor",10000,"")))</f>
        <v>10000</v>
      </c>
      <c r="E20" s="13">
        <f>IF(C20="Good",1000,IF(C20="Fair",5000,IF(C20="Poor",15000,"")))</f>
        <v>15000</v>
      </c>
      <c r="F20" s="10">
        <f>IF(C20="Good",3000,IF(C20="Fair",12000,IF(C20="Poor",30000,"")))</f>
        <v>30000</v>
      </c>
    </row>
    <row r="21" spans="1:9" x14ac:dyDescent="0.3">
      <c r="A21" s="2" t="s">
        <v>30</v>
      </c>
      <c r="B21" s="2" t="s">
        <v>33</v>
      </c>
      <c r="C21" s="2" t="str">
        <f>'Inspection Checklist'!C25</f>
        <v>Fair</v>
      </c>
      <c r="D21" s="8">
        <f>IF(C21="Good",300,IF(C21="Fair",1000,IF(C21="Poor",2500,"")))</f>
        <v>1000</v>
      </c>
      <c r="E21" s="13">
        <f>IF(C21="Good",1000,IF(C21="Fair",3000,IF(C21="Poor",7000,"")))</f>
        <v>3000</v>
      </c>
      <c r="F21" s="10">
        <f>IF(C21="Good",2500,IF(C21="Fair",6000,IF(C21="Poor",15000,"")))</f>
        <v>6000</v>
      </c>
    </row>
    <row r="22" spans="1:9" x14ac:dyDescent="0.3">
      <c r="A22" s="2" t="s">
        <v>30</v>
      </c>
      <c r="B22" s="2" t="s">
        <v>34</v>
      </c>
      <c r="C22" s="2" t="str">
        <f>'Inspection Checklist'!C26</f>
        <v>Fair</v>
      </c>
      <c r="D22" s="8">
        <f>IF(C22="Good",300,IF(C22="Fair",1500,IF(C22="Poor",4000,"")))</f>
        <v>1500</v>
      </c>
      <c r="E22" s="13">
        <f>IF(C22="Good",1000,IF(C22="Fair",4000,IF(C22="Poor",10000,"")))</f>
        <v>4000</v>
      </c>
      <c r="F22" s="10">
        <f>IF(C22="Good",3000,IF(C22="Fair",8000,IF(C22="Poor",20000,"")))</f>
        <v>8000</v>
      </c>
    </row>
    <row r="23" spans="1:9" x14ac:dyDescent="0.3">
      <c r="A23" s="2" t="s">
        <v>35</v>
      </c>
      <c r="B23" s="2" t="s">
        <v>36</v>
      </c>
      <c r="C23" s="2" t="str">
        <f>'Inspection Checklist'!C27</f>
        <v>Present</v>
      </c>
      <c r="D23" s="8">
        <f>IF(OR(C23="Missing",C23="Non-Functional"),150,0)</f>
        <v>0</v>
      </c>
      <c r="E23" s="13">
        <f>IF(OR(C23="Missing",C23="Non-Functional"),300,0)</f>
        <v>0</v>
      </c>
      <c r="F23" s="10">
        <f>IF(OR(C23="Missing",C23="Non-Functional"),700,0)</f>
        <v>0</v>
      </c>
    </row>
    <row r="24" spans="1:9" x14ac:dyDescent="0.3">
      <c r="A24" s="2" t="s">
        <v>35</v>
      </c>
      <c r="B24" s="2" t="s">
        <v>37</v>
      </c>
      <c r="C24" s="2" t="str">
        <f>'Inspection Checklist'!C28</f>
        <v>Present</v>
      </c>
      <c r="D24" s="8">
        <f>IF(OR(C24="Missing",C24="Non-Functional"),150,0)</f>
        <v>0</v>
      </c>
      <c r="E24" s="13">
        <f>IF(OR(C24="Missing",C24="Non-Functional"),300,0)</f>
        <v>0</v>
      </c>
      <c r="F24" s="10">
        <f>IF(OR(C24="Missing",C24="Non-Functional"),700,0)</f>
        <v>0</v>
      </c>
    </row>
    <row r="25" spans="1:9" x14ac:dyDescent="0.3">
      <c r="A25" s="2" t="s">
        <v>35</v>
      </c>
      <c r="B25" s="2" t="s">
        <v>38</v>
      </c>
      <c r="C25" s="2" t="str">
        <f>'Inspection Checklist'!C29</f>
        <v>Minor</v>
      </c>
      <c r="D25" s="8">
        <f>IF(C25="Minor",300,IF(C25="Severe",1500,0))</f>
        <v>300</v>
      </c>
      <c r="E25" s="13">
        <f>IF(C25="Minor",500,IF(C25="Severe",2000,0))</f>
        <v>500</v>
      </c>
      <c r="F25" s="10">
        <f>IF(C25="Minor",1500,IF(C25="Severe",8000,0))</f>
        <v>1500</v>
      </c>
    </row>
    <row r="26" spans="1:9" x14ac:dyDescent="0.3">
      <c r="A26" s="2" t="s">
        <v>35</v>
      </c>
      <c r="B26" s="2" t="s">
        <v>39</v>
      </c>
      <c r="C26" s="2" t="str">
        <f>'Inspection Checklist'!C30</f>
        <v>Minor</v>
      </c>
      <c r="D26" s="8">
        <f>IF(C26="Minor",500,IF(C26="Severe",3000,0))</f>
        <v>500</v>
      </c>
      <c r="E26" s="13">
        <f>IF(C26="Minor",1000,IF(C26="Severe",5000,0))</f>
        <v>1000</v>
      </c>
      <c r="F26" s="10">
        <f>IF(C26="Minor",3000,IF(C26="Severe",15000,0))</f>
        <v>3000</v>
      </c>
    </row>
    <row r="27" spans="1:9" x14ac:dyDescent="0.3">
      <c r="A27" s="2" t="s">
        <v>35</v>
      </c>
      <c r="B27" s="2" t="s">
        <v>40</v>
      </c>
      <c r="C27" s="2" t="str">
        <f>'Inspection Checklist'!C31</f>
        <v>None</v>
      </c>
      <c r="D27" s="8">
        <f>IF(C27="Suspected",2000,IF(C27="Confirmed",8000,0))</f>
        <v>0</v>
      </c>
      <c r="E27" s="13">
        <f>IF(C27="Suspected",2000,IF(C27="Confirmed",8000,0))</f>
        <v>0</v>
      </c>
      <c r="F27" s="10">
        <f>IF(C27="Suspected",5000,IF(C27="Confirmed",20000,0))</f>
        <v>0</v>
      </c>
    </row>
    <row r="28" spans="1:9" x14ac:dyDescent="0.3">
      <c r="A28" s="2" t="s">
        <v>41</v>
      </c>
      <c r="B28" s="2" t="s">
        <v>42</v>
      </c>
      <c r="C28" s="2" t="str">
        <f>'Inspection Checklist'!C32</f>
        <v>Clean</v>
      </c>
      <c r="D28" s="8">
        <f>IF(C28="Unknown",1000,IF(C28="Issues",2000,0))</f>
        <v>0</v>
      </c>
      <c r="E28" s="13">
        <f>IF(C28="Unknown",1000,IF(C28="Issues",2000,0))</f>
        <v>0</v>
      </c>
      <c r="F28" s="10">
        <f>IF(C28="Unknown",3000,IF(C28="Issues",5000,0))</f>
        <v>0</v>
      </c>
    </row>
    <row r="29" spans="1:9" x14ac:dyDescent="0.3">
      <c r="A29" s="2" t="s">
        <v>41</v>
      </c>
      <c r="B29" s="2" t="s">
        <v>43</v>
      </c>
      <c r="C29" s="2" t="str">
        <f>'Inspection Checklist'!C33</f>
        <v>Good</v>
      </c>
      <c r="D29" s="8">
        <v>0</v>
      </c>
      <c r="E29" s="13">
        <v>0</v>
      </c>
      <c r="F29" s="10">
        <v>0</v>
      </c>
    </row>
    <row r="30" spans="1:9" x14ac:dyDescent="0.3">
      <c r="A30" s="2" t="s">
        <v>41</v>
      </c>
      <c r="B30" s="2" t="s">
        <v>44</v>
      </c>
      <c r="C30" s="2" t="str">
        <f>'Inspection Checklist'!C34</f>
        <v>Poor</v>
      </c>
      <c r="D30" s="8">
        <f>IF(C30="Good",200,IF(C30="Fair",1200,IF(C30="Poor",4000,"")))</f>
        <v>4000</v>
      </c>
      <c r="E30" s="13">
        <f>IF(C30="Good",500,IF(C30="Fair",3000,IF(C30="Poor",10000,"")))</f>
        <v>10000</v>
      </c>
      <c r="F30" s="10">
        <f>IF(C30="Good",1500,IF(C30="Fair",7000,IF(C30="Poor",25000,"")))</f>
        <v>25000</v>
      </c>
    </row>
    <row r="31" spans="1:9" x14ac:dyDescent="0.3">
      <c r="A31" s="2"/>
      <c r="B31" s="2"/>
      <c r="C31" s="2"/>
      <c r="D31" s="2"/>
      <c r="E31" s="3"/>
      <c r="F31" s="9"/>
    </row>
    <row r="32" spans="1:9" x14ac:dyDescent="0.3">
      <c r="A32" s="2"/>
      <c r="B32" s="1" t="s">
        <v>45</v>
      </c>
      <c r="C32" s="1"/>
      <c r="D32" s="5">
        <f>SUM(D2:D30)</f>
        <v>64600</v>
      </c>
      <c r="E32" s="5">
        <f>SUM(E2:E30)</f>
        <v>96500</v>
      </c>
      <c r="F32" s="5">
        <f>SUM(F2:F30)</f>
        <v>201800</v>
      </c>
    </row>
    <row r="33" spans="1:6" x14ac:dyDescent="0.3">
      <c r="A33" s="2"/>
      <c r="B33" s="1" t="s">
        <v>46</v>
      </c>
      <c r="C33" s="1"/>
      <c r="D33" s="5">
        <f>D32*0.15</f>
        <v>9690</v>
      </c>
      <c r="E33" s="5">
        <f>E32*0.15</f>
        <v>14475</v>
      </c>
      <c r="F33" s="5">
        <f>F32*0.15</f>
        <v>30270</v>
      </c>
    </row>
    <row r="34" spans="1:6" x14ac:dyDescent="0.3">
      <c r="A34" s="2"/>
      <c r="B34" s="1" t="s">
        <v>47</v>
      </c>
      <c r="C34" s="1"/>
      <c r="D34" s="5">
        <f>D32+D33</f>
        <v>74290</v>
      </c>
      <c r="E34" s="5">
        <f>E32+E33</f>
        <v>110975</v>
      </c>
      <c r="F34" s="5">
        <f>F32+F33</f>
        <v>232070</v>
      </c>
    </row>
    <row r="35" spans="1:6" x14ac:dyDescent="0.3">
      <c r="D35" s="4"/>
    </row>
  </sheetData>
  <conditionalFormatting sqref="C3:D30 C2">
    <cfRule type="containsText" dxfId="6" priority="1" operator="containsText" text="Poor">
      <formula>NOT(ISERROR(SEARCH("Poor",C2)))</formula>
    </cfRule>
    <cfRule type="containsText" dxfId="5" priority="2" operator="containsText" text="Fair">
      <formula>NOT(ISERROR(SEARCH("Fair",C2)))</formula>
    </cfRule>
    <cfRule type="containsText" dxfId="4" priority="3" operator="containsText" text="Good">
      <formula>NOT(ISERROR(SEARCH("Good",C2)))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DAE68-8D26-4CF0-A7BA-72787F085603}">
  <sheetPr codeName="Sheet3"/>
  <dimension ref="A1:C24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5.77734375" customWidth="1"/>
    <col min="2" max="2" width="20.77734375" customWidth="1"/>
    <col min="3" max="3" width="32.109375" customWidth="1"/>
  </cols>
  <sheetData>
    <row r="1" spans="1:3" x14ac:dyDescent="0.3">
      <c r="A1" s="15" t="s">
        <v>48</v>
      </c>
      <c r="B1" s="15" t="s">
        <v>49</v>
      </c>
      <c r="C1" s="15" t="s">
        <v>3</v>
      </c>
    </row>
    <row r="2" spans="1:3" x14ac:dyDescent="0.3">
      <c r="A2" s="2" t="s">
        <v>6</v>
      </c>
      <c r="B2" s="3">
        <f>'Inspection Checklist'!C2</f>
        <v>350000</v>
      </c>
      <c r="C2" s="2" t="s">
        <v>76</v>
      </c>
    </row>
    <row r="3" spans="1:3" x14ac:dyDescent="0.3">
      <c r="A3" s="2" t="s">
        <v>45</v>
      </c>
      <c r="B3" s="3">
        <f>'Cost Estimation'!D34</f>
        <v>74290</v>
      </c>
      <c r="C3" s="2" t="s">
        <v>77</v>
      </c>
    </row>
    <row r="4" spans="1:3" x14ac:dyDescent="0.3">
      <c r="A4" s="2" t="s">
        <v>68</v>
      </c>
      <c r="B4" s="3">
        <f>0.02*B8</f>
        <v>11000</v>
      </c>
      <c r="C4" s="7" t="s">
        <v>78</v>
      </c>
    </row>
    <row r="5" spans="1:3" x14ac:dyDescent="0.3">
      <c r="A5" s="2" t="s">
        <v>72</v>
      </c>
      <c r="B5" s="3">
        <f>0.03*B2</f>
        <v>10500</v>
      </c>
      <c r="C5" s="2" t="s">
        <v>80</v>
      </c>
    </row>
    <row r="6" spans="1:3" x14ac:dyDescent="0.3">
      <c r="A6" s="2" t="s">
        <v>69</v>
      </c>
      <c r="B6" s="3">
        <f>0.05*B8</f>
        <v>27500</v>
      </c>
      <c r="C6" s="2" t="s">
        <v>79</v>
      </c>
    </row>
    <row r="7" spans="1:3" x14ac:dyDescent="0.3">
      <c r="A7" s="2" t="s">
        <v>50</v>
      </c>
      <c r="B7" s="3">
        <f>SUM(B2:B6)</f>
        <v>473290</v>
      </c>
      <c r="C7" s="2"/>
    </row>
    <row r="8" spans="1:3" x14ac:dyDescent="0.3">
      <c r="A8" s="2" t="s">
        <v>51</v>
      </c>
      <c r="B8" s="3">
        <f>'Inspection Checklist'!C3</f>
        <v>550000</v>
      </c>
      <c r="C8" s="2"/>
    </row>
    <row r="9" spans="1:3" x14ac:dyDescent="0.3">
      <c r="A9" s="2"/>
      <c r="B9" s="2"/>
      <c r="C9" s="2"/>
    </row>
    <row r="10" spans="1:3" x14ac:dyDescent="0.3">
      <c r="A10" s="6" t="s">
        <v>52</v>
      </c>
      <c r="B10" s="6"/>
      <c r="C10" s="2"/>
    </row>
    <row r="11" spans="1:3" x14ac:dyDescent="0.3">
      <c r="A11" s="2" t="s">
        <v>53</v>
      </c>
      <c r="B11" s="7">
        <v>0.2</v>
      </c>
      <c r="C11" s="2" t="s">
        <v>81</v>
      </c>
    </row>
    <row r="12" spans="1:3" x14ac:dyDescent="0.3">
      <c r="A12" s="2" t="s">
        <v>54</v>
      </c>
      <c r="B12" s="3">
        <f>B7*B11</f>
        <v>94658</v>
      </c>
      <c r="C12" s="2"/>
    </row>
    <row r="13" spans="1:3" x14ac:dyDescent="0.3">
      <c r="A13" s="2" t="s">
        <v>55</v>
      </c>
      <c r="B13" s="3">
        <f>B8-B7</f>
        <v>76710</v>
      </c>
      <c r="C13" s="2"/>
    </row>
    <row r="14" spans="1:3" x14ac:dyDescent="0.3">
      <c r="A14" s="2" t="s">
        <v>73</v>
      </c>
      <c r="B14" s="14">
        <f>B13/B7</f>
        <v>0.16207821842844766</v>
      </c>
      <c r="C14" s="2"/>
    </row>
    <row r="15" spans="1:3" x14ac:dyDescent="0.3">
      <c r="A15" s="2" t="s">
        <v>56</v>
      </c>
      <c r="B15" s="2" t="str">
        <f>IF(B13&gt;=B12,"Yes","No")</f>
        <v>No</v>
      </c>
      <c r="C15" s="2" t="s">
        <v>82</v>
      </c>
    </row>
    <row r="16" spans="1:3" x14ac:dyDescent="0.3">
      <c r="A16" s="2"/>
      <c r="B16" s="2"/>
      <c r="C16" s="2"/>
    </row>
    <row r="17" spans="1:3" x14ac:dyDescent="0.3">
      <c r="A17" s="6" t="s">
        <v>57</v>
      </c>
      <c r="B17" s="6"/>
      <c r="C17" s="2"/>
    </row>
    <row r="18" spans="1:3" x14ac:dyDescent="0.3">
      <c r="A18" s="2" t="s">
        <v>58</v>
      </c>
      <c r="B18" s="3">
        <f>B8*0.75</f>
        <v>412500</v>
      </c>
      <c r="C18" s="2"/>
    </row>
    <row r="19" spans="1:3" x14ac:dyDescent="0.3">
      <c r="A19" s="2" t="s">
        <v>59</v>
      </c>
      <c r="B19" s="3">
        <f>B7-B18</f>
        <v>60790</v>
      </c>
      <c r="C19" s="2" t="s">
        <v>83</v>
      </c>
    </row>
    <row r="20" spans="1:3" x14ac:dyDescent="0.3">
      <c r="A20" s="2" t="s">
        <v>60</v>
      </c>
      <c r="B20" s="3">
        <v>3800</v>
      </c>
      <c r="C20" s="2" t="s">
        <v>76</v>
      </c>
    </row>
    <row r="21" spans="1:3" ht="28.8" x14ac:dyDescent="0.3">
      <c r="A21" s="2" t="s">
        <v>61</v>
      </c>
      <c r="B21" s="3">
        <f>3400+0.02*B20+150</f>
        <v>3626</v>
      </c>
      <c r="C21" s="16" t="s">
        <v>84</v>
      </c>
    </row>
    <row r="22" spans="1:3" x14ac:dyDescent="0.3">
      <c r="A22" s="2" t="s">
        <v>62</v>
      </c>
      <c r="B22" s="3">
        <f>B20-B21</f>
        <v>174</v>
      </c>
      <c r="C22" s="2"/>
    </row>
    <row r="23" spans="1:3" x14ac:dyDescent="0.3">
      <c r="A23" s="2" t="s">
        <v>74</v>
      </c>
      <c r="B23" s="14">
        <f>(B22*12)/B19</f>
        <v>3.4347754564895541E-2</v>
      </c>
      <c r="C23" s="2"/>
    </row>
    <row r="24" spans="1:3" x14ac:dyDescent="0.3">
      <c r="A24" s="2" t="s">
        <v>63</v>
      </c>
      <c r="B24" s="2" t="str">
        <f>IF(B23&gt;=10%,"Yes","No")</f>
        <v>No</v>
      </c>
      <c r="C24" s="2"/>
    </row>
  </sheetData>
  <conditionalFormatting sqref="B15">
    <cfRule type="containsText" dxfId="3" priority="2" operator="containsText" text="No">
      <formula>NOT(ISERROR(SEARCH("No",B15)))</formula>
    </cfRule>
    <cfRule type="containsText" dxfId="2" priority="4" operator="containsText" text="Yes">
      <formula>NOT(ISERROR(SEARCH("Yes",B15)))</formula>
    </cfRule>
  </conditionalFormatting>
  <conditionalFormatting sqref="B24">
    <cfRule type="containsText" dxfId="1" priority="1" operator="containsText" text="Yes">
      <formula>NOT(ISERROR(SEARCH("Yes",B24)))</formula>
    </cfRule>
    <cfRule type="containsText" dxfId="0" priority="3" operator="containsText" text="No">
      <formula>NOT(ISERROR(SEARCH("No",B24)))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Inspection Checklist</vt:lpstr>
      <vt:lpstr>Cost Estimation</vt:lpstr>
      <vt:lpstr>Deal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24Golf Foultz</dc:creator>
  <cp:lastModifiedBy>24Golf Foultz</cp:lastModifiedBy>
  <dcterms:created xsi:type="dcterms:W3CDTF">2025-03-18T13:07:58Z</dcterms:created>
  <dcterms:modified xsi:type="dcterms:W3CDTF">2025-03-25T14:23:44Z</dcterms:modified>
</cp:coreProperties>
</file>